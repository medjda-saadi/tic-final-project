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em\Desktop\"/>
    </mc:Choice>
  </mc:AlternateContent>
  <xr:revisionPtr revIDLastSave="0" documentId="8_{8E6C2614-DEDF-4BEF-A30E-DFFD1CE0D641}" xr6:coauthVersionLast="36" xr6:coauthVersionMax="36" xr10:uidLastSave="{00000000-0000-0000-0000-000000000000}"/>
  <bookViews>
    <workbookView xWindow="0" yWindow="0" windowWidth="8240" windowHeight="3860" activeTab="3" xr2:uid="{72A0088B-5943-4E12-AF7A-9F21D81BABFB}"/>
  </bookViews>
  <sheets>
    <sheet name="Sheet1" sheetId="1" r:id="rId1"/>
    <sheet name="Sheet2" sheetId="2" r:id="rId2"/>
    <sheet name="Sheet3" sheetId="6" r:id="rId3"/>
    <sheet name="Sheet4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2" i="7"/>
  <c r="J8" i="6"/>
  <c r="J11" i="6" l="1"/>
  <c r="J10" i="6"/>
</calcChain>
</file>

<file path=xl/sharedStrings.xml><?xml version="1.0" encoding="utf-8"?>
<sst xmlns="http://schemas.openxmlformats.org/spreadsheetml/2006/main" count="197" uniqueCount="91">
  <si>
    <t>Students</t>
  </si>
  <si>
    <t>Faculty</t>
  </si>
  <si>
    <t>University</t>
  </si>
  <si>
    <t>Arts</t>
  </si>
  <si>
    <t>Yale</t>
  </si>
  <si>
    <t>Physics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</si>
  <si>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</si>
  <si>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</si>
  <si>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</si>
  <si>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</si>
  <si>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</si>
  <si>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</si>
  <si>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</si>
  <si>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</si>
  <si>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Psychology</t>
  </si>
  <si>
    <t>Penn State</t>
  </si>
  <si>
    <t>lvy League Applications</t>
  </si>
  <si>
    <t>Sum of Students</t>
  </si>
  <si>
    <t>Row Labels</t>
  </si>
  <si>
    <t>Grand Total</t>
  </si>
  <si>
    <t>Average of Students</t>
  </si>
  <si>
    <t>Sum of Students2</t>
  </si>
  <si>
    <t>Average of Students2</t>
  </si>
  <si>
    <t>Table 1:</t>
  </si>
  <si>
    <t>Table 2:</t>
  </si>
  <si>
    <t>Table 3:</t>
  </si>
  <si>
    <t/>
  </si>
  <si>
    <t>ID</t>
  </si>
  <si>
    <t>PU</t>
  </si>
  <si>
    <t>QTE</t>
  </si>
  <si>
    <t>PT</t>
  </si>
  <si>
    <t>Remise</t>
  </si>
  <si>
    <t>-</t>
  </si>
  <si>
    <t>150,00 DZD</t>
  </si>
  <si>
    <t>120,00 DZD</t>
  </si>
  <si>
    <t>2.400,00 DZD</t>
  </si>
  <si>
    <t>165,00 DZD</t>
  </si>
  <si>
    <t>1.920,00 DZD</t>
  </si>
  <si>
    <t>3.600,00 DZD</t>
  </si>
  <si>
    <t>5.040,00 DZD</t>
  </si>
  <si>
    <t>40,00 DZD</t>
  </si>
  <si>
    <t>20,00 DZD</t>
  </si>
  <si>
    <t>5.290,00 DZD</t>
  </si>
  <si>
    <t>3.010,00 DZD</t>
  </si>
  <si>
    <t>140,00 DZD</t>
  </si>
  <si>
    <t>280,00 DZD</t>
  </si>
  <si>
    <t>360,00 DZD</t>
  </si>
  <si>
    <t>56,00 DZD</t>
  </si>
  <si>
    <t>70,00 DZD</t>
  </si>
  <si>
    <t>430,00 DZD</t>
  </si>
  <si>
    <t>230,00 DZD</t>
  </si>
  <si>
    <t>10,00 DZD</t>
  </si>
  <si>
    <t>5,00 DZD</t>
  </si>
  <si>
    <t>1.200,00 DZD</t>
  </si>
  <si>
    <t>480,00 DZD</t>
  </si>
  <si>
    <t>33,00 DZD</t>
  </si>
  <si>
    <t>15,00 DZD</t>
  </si>
  <si>
    <t>24,00 DZD</t>
  </si>
  <si>
    <t>18,00 DZD</t>
  </si>
  <si>
    <t>14,00 DZD</t>
  </si>
  <si>
    <t>7,00 DZD</t>
  </si>
  <si>
    <t>301,00 DZD</t>
  </si>
  <si>
    <t>529,00 DZD</t>
  </si>
  <si>
    <t>504,00 DZD</t>
  </si>
  <si>
    <t>192,00 DZD</t>
  </si>
  <si>
    <t>240,00 DZD</t>
  </si>
  <si>
    <t>6,00 DZD</t>
  </si>
  <si>
    <t>Total a payer</t>
  </si>
  <si>
    <t>Val Remise</t>
  </si>
  <si>
    <t>8,25 DZD</t>
  </si>
  <si>
    <t>7,50 DZD</t>
  </si>
  <si>
    <t>342,00 DZD</t>
  </si>
  <si>
    <t>266,00 DZD</t>
  </si>
  <si>
    <t>133,00 DZD</t>
  </si>
  <si>
    <t>156,75 DZD</t>
  </si>
  <si>
    <t>Totale facture:</t>
  </si>
  <si>
    <t>TVA:</t>
  </si>
  <si>
    <t>Val TVA:</t>
  </si>
  <si>
    <t>TTC</t>
  </si>
  <si>
    <t>114 DZD</t>
  </si>
  <si>
    <t>142,5 DZD</t>
  </si>
  <si>
    <t>2709,00 DZD</t>
  </si>
  <si>
    <t>4761,00 DZD</t>
  </si>
  <si>
    <t>1728,00 DZD</t>
  </si>
  <si>
    <t>2160,00 DZD</t>
  </si>
  <si>
    <t>4536,00 DZD</t>
  </si>
  <si>
    <t>3240,00 DZD</t>
  </si>
  <si>
    <t>total a payer</t>
  </si>
  <si>
    <t>Time(s)</t>
  </si>
  <si>
    <t>Distance(m)</t>
  </si>
  <si>
    <t>Speed(m/s)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</si>
</sst>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0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/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D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Speed(m/s)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xVal>
          <c:yVal>
            <c:numRef>
              <c:f>Sheet4!$C$2:$C$11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4-4052-9F0F-80810379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531039"/>
        <c:axId val="1000623599"/>
      </c:scatterChart>
      <c:valAx>
        <c:axId val="100053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speed(m/s)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D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1000623599"/>
        <c:crosses val="autoZero"/>
        <c:crossBetween val="midCat"/>
      </c:valAx>
      <c:valAx>
        <c:axId val="10006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D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100053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D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Sheet4!$C$1</c:f>
              <c:strCache>
                <c:ptCount val="1"/>
                <c:pt idx="0">
                  <c:v>Speed(m/s)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Sheet4!$C$2:$C$11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ED-4995-AE99-6BB17496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645471"/>
        <c:axId val="999829087"/>
      </c:scatterChart>
      <c:valAx>
        <c:axId val="8836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999829087"/>
        <c:crosses val="autoZero"/>
        <c:crossBetween val="midCat"/>
      </c:valAx>
      <c:valAx>
        <c:axId val="9998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88364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D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15875</xdr:rowOff>
    </xdr:from>
    <xdr:to>
      <xdr:col>6</xdr:col>
      <xdr:colOff>292100</xdr:colOff>
      <xdr:row>26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4D4603-5C12-42BC-B8CE-ACE2A25AB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15875</xdr:colOff>
      <xdr:row>11</xdr:row>
      <xdr:rowOff>174625</xdr:rowOff>
    </xdr:from>
    <xdr:to>
      <xdr:col>15</xdr:col>
      <xdr:colOff>320675</xdr:colOff>
      <xdr:row>26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6DDB2C-05B3-4A08-AB84-9F0A62DF4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is Alae" refreshedDate="46020.103746180554" createdVersion="6" refreshedVersion="6" minRefreshableVersion="3" recordCount="40" xr:uid="{9AE720B5-77DF-4C35-8909-1F03E6F81FB8}">
  <cacheSource type="worksheet">
    <worksheetSource ref="A2:C42" sheet="Sheet1"/>
  </cacheSource>
  <cacheFields count="3">
    <cacheField name="Students" numFmtId="0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91"/>
    <x v="0"/>
    <x v="0"/>
  </r>
  <r>
    <n v="9567"/>
    <x v="1"/>
    <x v="1"/>
  </r>
  <r>
    <n v="542"/>
    <x v="2"/>
    <x v="2"/>
  </r>
  <r>
    <n v="346"/>
    <x v="2"/>
    <x v="3"/>
  </r>
  <r>
    <n v="849"/>
    <x v="0"/>
    <x v="4"/>
  </r>
  <r>
    <n v="552"/>
    <x v="2"/>
    <x v="5"/>
  </r>
  <r>
    <n v="173"/>
    <x v="0"/>
    <x v="3"/>
  </r>
  <r>
    <n v="1355"/>
    <x v="0"/>
    <x v="5"/>
  </r>
  <r>
    <n v="193"/>
    <x v="3"/>
    <x v="6"/>
  </r>
  <r>
    <n v="615"/>
    <x v="3"/>
    <x v="3"/>
  </r>
  <r>
    <n v="1579"/>
    <x v="3"/>
    <x v="1"/>
  </r>
  <r>
    <n v="547"/>
    <x v="1"/>
    <x v="2"/>
  </r>
  <r>
    <n v="1687"/>
    <x v="4"/>
    <x v="2"/>
  </r>
  <r>
    <n v="972"/>
    <x v="2"/>
    <x v="1"/>
  </r>
  <r>
    <n v="234"/>
    <x v="2"/>
    <x v="7"/>
  </r>
  <r>
    <n v="151"/>
    <x v="4"/>
    <x v="6"/>
  </r>
  <r>
    <n v="1793"/>
    <x v="1"/>
    <x v="4"/>
  </r>
  <r>
    <n v="315"/>
    <x v="4"/>
    <x v="4"/>
  </r>
  <r>
    <n v="618"/>
    <x v="1"/>
    <x v="5"/>
  </r>
  <r>
    <n v="246"/>
    <x v="1"/>
    <x v="0"/>
  </r>
  <r>
    <n v="784"/>
    <x v="1"/>
    <x v="6"/>
  </r>
  <r>
    <n v="316"/>
    <x v="3"/>
    <x v="2"/>
  </r>
  <r>
    <n v="3155"/>
    <x v="0"/>
    <x v="2"/>
  </r>
  <r>
    <n v="318"/>
    <x v="4"/>
    <x v="7"/>
  </r>
  <r>
    <n v="608"/>
    <x v="2"/>
    <x v="4"/>
  </r>
  <r>
    <n v="561"/>
    <x v="0"/>
    <x v="6"/>
  </r>
  <r>
    <n v="357"/>
    <x v="4"/>
    <x v="0"/>
  </r>
  <r>
    <n v="1688"/>
    <x v="3"/>
    <x v="4"/>
  </r>
  <r>
    <n v="972"/>
    <x v="2"/>
    <x v="6"/>
  </r>
  <r>
    <n v="568"/>
    <x v="1"/>
    <x v="7"/>
  </r>
  <r>
    <n v="632"/>
    <x v="3"/>
    <x v="7"/>
  </r>
  <r>
    <n v="551"/>
    <x v="4"/>
    <x v="5"/>
  </r>
  <r>
    <n v="948"/>
    <x v="1"/>
    <x v="3"/>
  </r>
  <r>
    <n v="1358"/>
    <x v="0"/>
    <x v="1"/>
  </r>
  <r>
    <n v="135"/>
    <x v="0"/>
    <x v="7"/>
  </r>
  <r>
    <n v="849"/>
    <x v="3"/>
    <x v="0"/>
  </r>
  <r>
    <n v="158"/>
    <x v="4"/>
    <x v="3"/>
  </r>
  <r>
    <n v="1889"/>
    <x v="3"/>
    <x v="5"/>
  </r>
  <r>
    <n v="651"/>
    <x v="4"/>
    <x v="1"/>
  </r>
  <r>
    <n v="65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9C5DB-E3F5-4D60-B100-EDF958B9C82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3">
    <pivotField dataField="1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2" fld="0" baseField="0" baseItem="0"/>
    <dataField name="Average of Students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12013-62B6-401B-B08D-79515382C7F9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" colHeaderCaption="">
  <location ref="B19:H29" firstHeaderRow="1" firstDataRow="2" firstDataCol="1"/>
  <pivotFields count="3">
    <pivotField dataFiel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udent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54C99-D360-4C4F-B2E4-C213FACC406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I12" firstHeaderRow="0" firstDataRow="1" firstDataCol="1"/>
  <pivotFields count="3">
    <pivotField dataField="1" showAll="0"/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F779-25C9-47BC-B938-AFA9462AAD38}">
  <sheetPr>
    <tabColor theme="4" tint="0.59999389629810485"/>
  </sheetPr>
  <dimension ref="A1:C42"/>
  <sheetViews>
    <sheetView topLeftCell="A2" workbookViewId="0">
      <selection activeCell="E19" sqref="E19"/>
    </sheetView>
  </sheetViews>
  <sheetFormatPr defaultRowHeight="14.5" x14ac:dyDescent="0.35"/>
  <cols>
    <col min="1" max="1" width="12.6328125" customWidth="1"/>
    <col min="2" max="2" width="17.54296875" customWidth="1"/>
    <col min="3" max="3" width="17.36328125" customWidth="1"/>
  </cols>
  <sheetData>
    <row r="1" spans="1:3" ht="22.5" thickBot="1" x14ac:dyDescent="0.7">
      <c r="A1" s="16" t="s">
        <v>16</v>
      </c>
      <c r="B1" s="16"/>
      <c r="C1" s="16"/>
    </row>
    <row r="2" spans="1:3" ht="16" thickBot="1" x14ac:dyDescent="0.5">
      <c r="A2" s="3" t="s">
        <v>0</v>
      </c>
      <c r="B2" s="3" t="s">
        <v>1</v>
      </c>
      <c r="C2" s="3" t="s">
        <v>2</v>
      </c>
    </row>
    <row r="3" spans="1:3" ht="15" thickBot="1" x14ac:dyDescent="0.4">
      <c r="A3" s="4">
        <v>591</v>
      </c>
      <c r="B3" s="4" t="s">
        <v>3</v>
      </c>
      <c r="C3" s="4" t="s">
        <v>4</v>
      </c>
    </row>
    <row r="4" spans="1:3" ht="15" thickBot="1" x14ac:dyDescent="0.4">
      <c r="A4" s="4">
        <v>9567</v>
      </c>
      <c r="B4" s="4" t="s">
        <v>5</v>
      </c>
      <c r="C4" s="4" t="s">
        <v>6</v>
      </c>
    </row>
    <row r="5" spans="1:3" ht="15" thickBot="1" x14ac:dyDescent="0.4">
      <c r="A5" s="4">
        <v>542</v>
      </c>
      <c r="B5" s="4" t="s">
        <v>7</v>
      </c>
      <c r="C5" s="4" t="s">
        <v>8</v>
      </c>
    </row>
    <row r="6" spans="1:3" ht="15" thickBot="1" x14ac:dyDescent="0.4">
      <c r="A6" s="4">
        <v>346</v>
      </c>
      <c r="B6" s="4" t="s">
        <v>7</v>
      </c>
      <c r="C6" s="4" t="s">
        <v>9</v>
      </c>
    </row>
    <row r="7" spans="1:3" ht="15" thickBot="1" x14ac:dyDescent="0.4">
      <c r="A7" s="4">
        <v>849</v>
      </c>
      <c r="B7" s="4" t="s">
        <v>3</v>
      </c>
      <c r="C7" s="4" t="s">
        <v>10</v>
      </c>
    </row>
    <row r="8" spans="1:3" ht="15" thickBot="1" x14ac:dyDescent="0.4">
      <c r="A8" s="4">
        <v>552</v>
      </c>
      <c r="B8" s="4" t="s">
        <v>7</v>
      </c>
      <c r="C8" s="4" t="s">
        <v>11</v>
      </c>
    </row>
    <row r="9" spans="1:3" ht="15" thickBot="1" x14ac:dyDescent="0.4">
      <c r="A9" s="4">
        <v>173</v>
      </c>
      <c r="B9" s="4" t="s">
        <v>3</v>
      </c>
      <c r="C9" s="4" t="s">
        <v>9</v>
      </c>
    </row>
    <row r="10" spans="1:3" ht="15" thickBot="1" x14ac:dyDescent="0.4">
      <c r="A10" s="4">
        <v>1355</v>
      </c>
      <c r="B10" s="4" t="s">
        <v>3</v>
      </c>
      <c r="C10" s="4" t="s">
        <v>11</v>
      </c>
    </row>
    <row r="11" spans="1:3" ht="15" thickBot="1" x14ac:dyDescent="0.4">
      <c r="A11" s="4">
        <v>193</v>
      </c>
      <c r="B11" s="4" t="s">
        <v>12</v>
      </c>
      <c r="C11" s="4" t="s">
        <v>13</v>
      </c>
    </row>
    <row r="12" spans="1:3" ht="15" thickBot="1" x14ac:dyDescent="0.4">
      <c r="A12" s="4">
        <v>615</v>
      </c>
      <c r="B12" s="4" t="s">
        <v>12</v>
      </c>
      <c r="C12" s="4" t="s">
        <v>9</v>
      </c>
    </row>
    <row r="13" spans="1:3" ht="15" thickBot="1" x14ac:dyDescent="0.4">
      <c r="A13" s="4">
        <v>1579</v>
      </c>
      <c r="B13" s="4" t="s">
        <v>12</v>
      </c>
      <c r="C13" s="4" t="s">
        <v>6</v>
      </c>
    </row>
    <row r="14" spans="1:3" ht="15" thickBot="1" x14ac:dyDescent="0.4">
      <c r="A14" s="4">
        <v>547</v>
      </c>
      <c r="B14" s="4" t="s">
        <v>5</v>
      </c>
      <c r="C14" s="4" t="s">
        <v>8</v>
      </c>
    </row>
    <row r="15" spans="1:3" ht="15" thickBot="1" x14ac:dyDescent="0.4">
      <c r="A15" s="4">
        <v>1687</v>
      </c>
      <c r="B15" s="4" t="s">
        <v>14</v>
      </c>
      <c r="C15" s="4" t="s">
        <v>8</v>
      </c>
    </row>
    <row r="16" spans="1:3" ht="15" thickBot="1" x14ac:dyDescent="0.4">
      <c r="A16" s="4">
        <v>972</v>
      </c>
      <c r="B16" s="4" t="s">
        <v>7</v>
      </c>
      <c r="C16" s="4" t="s">
        <v>6</v>
      </c>
    </row>
    <row r="17" spans="1:3" ht="15" thickBot="1" x14ac:dyDescent="0.4">
      <c r="A17" s="4">
        <v>234</v>
      </c>
      <c r="B17" s="4" t="s">
        <v>7</v>
      </c>
      <c r="C17" s="4" t="s">
        <v>15</v>
      </c>
    </row>
    <row r="18" spans="1:3" ht="15" thickBot="1" x14ac:dyDescent="0.4">
      <c r="A18" s="4">
        <v>151</v>
      </c>
      <c r="B18" s="4" t="s">
        <v>14</v>
      </c>
      <c r="C18" s="4" t="s">
        <v>13</v>
      </c>
    </row>
    <row r="19" spans="1:3" ht="15" thickBot="1" x14ac:dyDescent="0.4">
      <c r="A19" s="4">
        <v>1793</v>
      </c>
      <c r="B19" s="4" t="s">
        <v>5</v>
      </c>
      <c r="C19" s="4" t="s">
        <v>10</v>
      </c>
    </row>
    <row r="20" spans="1:3" ht="15" thickBot="1" x14ac:dyDescent="0.4">
      <c r="A20" s="4">
        <v>315</v>
      </c>
      <c r="B20" s="4" t="s">
        <v>14</v>
      </c>
      <c r="C20" s="4" t="s">
        <v>10</v>
      </c>
    </row>
    <row r="21" spans="1:3" ht="15" thickBot="1" x14ac:dyDescent="0.4">
      <c r="A21" s="4">
        <v>618</v>
      </c>
      <c r="B21" s="4" t="s">
        <v>5</v>
      </c>
      <c r="C21" s="4" t="s">
        <v>11</v>
      </c>
    </row>
    <row r="22" spans="1:3" ht="15" thickBot="1" x14ac:dyDescent="0.4">
      <c r="A22" s="4">
        <v>246</v>
      </c>
      <c r="B22" s="4" t="s">
        <v>5</v>
      </c>
      <c r="C22" s="4" t="s">
        <v>4</v>
      </c>
    </row>
    <row r="23" spans="1:3" ht="15" thickBot="1" x14ac:dyDescent="0.4">
      <c r="A23" s="4">
        <v>784</v>
      </c>
      <c r="B23" s="4" t="s">
        <v>5</v>
      </c>
      <c r="C23" s="4" t="s">
        <v>13</v>
      </c>
    </row>
    <row r="24" spans="1:3" ht="15" thickBot="1" x14ac:dyDescent="0.4">
      <c r="A24" s="4">
        <v>316</v>
      </c>
      <c r="B24" s="4" t="s">
        <v>12</v>
      </c>
      <c r="C24" s="4" t="s">
        <v>8</v>
      </c>
    </row>
    <row r="25" spans="1:3" ht="15" thickBot="1" x14ac:dyDescent="0.4">
      <c r="A25" s="4">
        <v>3155</v>
      </c>
      <c r="B25" s="4" t="s">
        <v>3</v>
      </c>
      <c r="C25" s="4" t="s">
        <v>8</v>
      </c>
    </row>
    <row r="26" spans="1:3" ht="15" thickBot="1" x14ac:dyDescent="0.4">
      <c r="A26" s="4">
        <v>318</v>
      </c>
      <c r="B26" s="4" t="s">
        <v>14</v>
      </c>
      <c r="C26" s="4" t="s">
        <v>15</v>
      </c>
    </row>
    <row r="27" spans="1:3" ht="15" thickBot="1" x14ac:dyDescent="0.4">
      <c r="A27" s="4">
        <v>608</v>
      </c>
      <c r="B27" s="4" t="s">
        <v>7</v>
      </c>
      <c r="C27" s="4" t="s">
        <v>10</v>
      </c>
    </row>
    <row r="28" spans="1:3" ht="15" thickBot="1" x14ac:dyDescent="0.4">
      <c r="A28" s="4">
        <v>561</v>
      </c>
      <c r="B28" s="4" t="s">
        <v>3</v>
      </c>
      <c r="C28" s="4" t="s">
        <v>13</v>
      </c>
    </row>
    <row r="29" spans="1:3" ht="15" thickBot="1" x14ac:dyDescent="0.4">
      <c r="A29" s="4">
        <v>357</v>
      </c>
      <c r="B29" s="4" t="s">
        <v>14</v>
      </c>
      <c r="C29" s="4" t="s">
        <v>4</v>
      </c>
    </row>
    <row r="30" spans="1:3" ht="15" thickBot="1" x14ac:dyDescent="0.4">
      <c r="A30" s="4">
        <v>1688</v>
      </c>
      <c r="B30" s="4" t="s">
        <v>12</v>
      </c>
      <c r="C30" s="4" t="s">
        <v>10</v>
      </c>
    </row>
    <row r="31" spans="1:3" ht="15" thickBot="1" x14ac:dyDescent="0.4">
      <c r="A31" s="4">
        <v>972</v>
      </c>
      <c r="B31" s="4" t="s">
        <v>7</v>
      </c>
      <c r="C31" s="4" t="s">
        <v>13</v>
      </c>
    </row>
    <row r="32" spans="1:3" ht="15" thickBot="1" x14ac:dyDescent="0.4">
      <c r="A32" s="4">
        <v>568</v>
      </c>
      <c r="B32" s="4" t="s">
        <v>5</v>
      </c>
      <c r="C32" s="4" t="s">
        <v>15</v>
      </c>
    </row>
    <row r="33" spans="1:3" ht="15" thickBot="1" x14ac:dyDescent="0.4">
      <c r="A33" s="4">
        <v>632</v>
      </c>
      <c r="B33" s="4" t="s">
        <v>12</v>
      </c>
      <c r="C33" s="4" t="s">
        <v>15</v>
      </c>
    </row>
    <row r="34" spans="1:3" ht="15" thickBot="1" x14ac:dyDescent="0.4">
      <c r="A34" s="4">
        <v>551</v>
      </c>
      <c r="B34" s="4" t="s">
        <v>14</v>
      </c>
      <c r="C34" s="4" t="s">
        <v>11</v>
      </c>
    </row>
    <row r="35" spans="1:3" ht="15" thickBot="1" x14ac:dyDescent="0.4">
      <c r="A35" s="4">
        <v>948</v>
      </c>
      <c r="B35" s="4" t="s">
        <v>5</v>
      </c>
      <c r="C35" s="4" t="s">
        <v>9</v>
      </c>
    </row>
    <row r="36" spans="1:3" ht="15" thickBot="1" x14ac:dyDescent="0.4">
      <c r="A36" s="4">
        <v>1358</v>
      </c>
      <c r="B36" s="4" t="s">
        <v>3</v>
      </c>
      <c r="C36" s="4" t="s">
        <v>6</v>
      </c>
    </row>
    <row r="37" spans="1:3" ht="15" thickBot="1" x14ac:dyDescent="0.4">
      <c r="A37" s="4">
        <v>135</v>
      </c>
      <c r="B37" s="4" t="s">
        <v>3</v>
      </c>
      <c r="C37" s="4" t="s">
        <v>15</v>
      </c>
    </row>
    <row r="38" spans="1:3" ht="15" thickBot="1" x14ac:dyDescent="0.4">
      <c r="A38" s="4">
        <v>849</v>
      </c>
      <c r="B38" s="4" t="s">
        <v>12</v>
      </c>
      <c r="C38" s="4" t="s">
        <v>4</v>
      </c>
    </row>
    <row r="39" spans="1:3" ht="15" thickBot="1" x14ac:dyDescent="0.4">
      <c r="A39" s="4">
        <v>158</v>
      </c>
      <c r="B39" s="4" t="s">
        <v>14</v>
      </c>
      <c r="C39" s="4" t="s">
        <v>9</v>
      </c>
    </row>
    <row r="40" spans="1:3" ht="15" thickBot="1" x14ac:dyDescent="0.4">
      <c r="A40" s="4">
        <v>1889</v>
      </c>
      <c r="B40" s="4" t="s">
        <v>12</v>
      </c>
      <c r="C40" s="4" t="s">
        <v>11</v>
      </c>
    </row>
    <row r="41" spans="1:3" ht="15" thickBot="1" x14ac:dyDescent="0.4">
      <c r="A41" s="4">
        <v>651</v>
      </c>
      <c r="B41" s="4" t="s">
        <v>14</v>
      </c>
      <c r="C41" s="4" t="s">
        <v>6</v>
      </c>
    </row>
    <row r="42" spans="1:3" ht="15" thickBot="1" x14ac:dyDescent="0.4">
      <c r="A42" s="4">
        <v>651</v>
      </c>
      <c r="B42" s="4" t="s">
        <v>7</v>
      </c>
      <c r="C42" s="4" t="s">
        <v>4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31D-1C28-4908-A55B-E9658DB03E06}">
  <sheetPr>
    <tabColor theme="4" tint="0.59999389629810485"/>
  </sheetPr>
  <dimension ref="A2:I29"/>
  <sheetViews>
    <sheetView topLeftCell="A2" workbookViewId="0">
      <selection activeCell="E18" sqref="E18"/>
    </sheetView>
  </sheetViews>
  <sheetFormatPr defaultRowHeight="14.5" x14ac:dyDescent="0.35"/>
  <cols>
    <col min="1" max="1" width="12.36328125" bestFit="1" customWidth="1"/>
    <col min="2" max="2" width="14.6328125" bestFit="1" customWidth="1"/>
    <col min="3" max="3" width="4.81640625" bestFit="1" customWidth="1"/>
    <col min="4" max="4" width="9.6328125" bestFit="1" customWidth="1"/>
    <col min="5" max="5" width="11.81640625" bestFit="1" customWidth="1"/>
    <col min="6" max="6" width="6.81640625" bestFit="1" customWidth="1"/>
    <col min="7" max="7" width="10" bestFit="1" customWidth="1"/>
    <col min="8" max="8" width="10.7265625" bestFit="1" customWidth="1"/>
    <col min="9" max="9" width="10.54296875" bestFit="1" customWidth="1"/>
    <col min="10" max="10" width="9.6328125" bestFit="1" customWidth="1"/>
    <col min="11" max="11" width="11.81640625" bestFit="1" customWidth="1"/>
    <col min="12" max="12" width="6.81640625" bestFit="1" customWidth="1"/>
    <col min="13" max="13" width="10" bestFit="1" customWidth="1"/>
    <col min="14" max="14" width="13.54296875" bestFit="1" customWidth="1"/>
    <col min="15" max="15" width="8.54296875" bestFit="1" customWidth="1"/>
    <col min="16" max="16" width="9.6328125" bestFit="1" customWidth="1"/>
    <col min="17" max="17" width="11.81640625" bestFit="1" customWidth="1"/>
    <col min="18" max="18" width="6.81640625" bestFit="1" customWidth="1"/>
    <col min="19" max="19" width="10" bestFit="1" customWidth="1"/>
    <col min="20" max="20" width="11.453125" bestFit="1" customWidth="1"/>
    <col min="21" max="21" width="12" bestFit="1" customWidth="1"/>
    <col min="22" max="22" width="9.6328125" bestFit="1" customWidth="1"/>
    <col min="23" max="23" width="11.81640625" bestFit="1" customWidth="1"/>
    <col min="24" max="24" width="6.81640625" bestFit="1" customWidth="1"/>
    <col min="25" max="25" width="10" bestFit="1" customWidth="1"/>
    <col min="26" max="26" width="15" bestFit="1" customWidth="1"/>
    <col min="27" max="27" width="9.36328125" bestFit="1" customWidth="1"/>
    <col min="28" max="28" width="9.6328125" bestFit="1" customWidth="1"/>
    <col min="29" max="29" width="11.81640625" bestFit="1" customWidth="1"/>
    <col min="30" max="30" width="6.81640625" bestFit="1" customWidth="1"/>
    <col min="31" max="31" width="10" bestFit="1" customWidth="1"/>
    <col min="32" max="32" width="12.26953125" bestFit="1" customWidth="1"/>
    <col min="33" max="33" width="11.7265625" bestFit="1" customWidth="1"/>
    <col min="34" max="34" width="9.6328125" bestFit="1" customWidth="1"/>
    <col min="35" max="35" width="11.81640625" bestFit="1" customWidth="1"/>
    <col min="36" max="36" width="6.81640625" bestFit="1" customWidth="1"/>
    <col min="37" max="37" width="10" bestFit="1" customWidth="1"/>
    <col min="38" max="38" width="14.7265625" bestFit="1" customWidth="1"/>
    <col min="39" max="39" width="10.7265625" bestFit="1" customWidth="1"/>
    <col min="40" max="40" width="9.6328125" bestFit="1" customWidth="1"/>
    <col min="41" max="41" width="11.81640625" bestFit="1" customWidth="1"/>
    <col min="42" max="42" width="6.81640625" bestFit="1" customWidth="1"/>
    <col min="43" max="43" width="10" bestFit="1" customWidth="1"/>
    <col min="44" max="44" width="13.7265625" bestFit="1" customWidth="1"/>
    <col min="45" max="45" width="6.08984375" bestFit="1" customWidth="1"/>
    <col min="46" max="46" width="9.6328125" bestFit="1" customWidth="1"/>
    <col min="47" max="47" width="11.81640625" bestFit="1" customWidth="1"/>
    <col min="48" max="48" width="6.81640625" bestFit="1" customWidth="1"/>
    <col min="49" max="49" width="10" bestFit="1" customWidth="1"/>
    <col min="50" max="50" width="9" bestFit="1" customWidth="1"/>
    <col min="51" max="51" width="10.7265625" bestFit="1" customWidth="1"/>
  </cols>
  <sheetData>
    <row r="2" spans="1:9" x14ac:dyDescent="0.35">
      <c r="A2" t="s">
        <v>23</v>
      </c>
      <c r="G2" t="s">
        <v>24</v>
      </c>
    </row>
    <row r="3" spans="1:9" x14ac:dyDescent="0.35">
      <c r="A3" s="6" t="s">
        <v>18</v>
      </c>
      <c r="B3" t="s">
        <v>21</v>
      </c>
      <c r="C3" t="s">
        <v>20</v>
      </c>
      <c r="G3" s="6" t="s">
        <v>18</v>
      </c>
      <c r="H3" t="s">
        <v>17</v>
      </c>
      <c r="I3" t="s">
        <v>22</v>
      </c>
    </row>
    <row r="4" spans="1:9" x14ac:dyDescent="0.35">
      <c r="A4" s="7" t="s">
        <v>3</v>
      </c>
      <c r="B4" s="5">
        <v>8177</v>
      </c>
      <c r="C4" s="5">
        <v>1022.125</v>
      </c>
      <c r="G4" s="7" t="s">
        <v>6</v>
      </c>
      <c r="H4" s="5">
        <v>14127</v>
      </c>
      <c r="I4" s="5">
        <v>2825.4</v>
      </c>
    </row>
    <row r="5" spans="1:9" x14ac:dyDescent="0.35">
      <c r="A5" s="7" t="s">
        <v>7</v>
      </c>
      <c r="B5" s="5">
        <v>4877</v>
      </c>
      <c r="C5" s="5">
        <v>609.625</v>
      </c>
      <c r="G5" s="7" t="s">
        <v>10</v>
      </c>
      <c r="H5" s="5">
        <v>5253</v>
      </c>
      <c r="I5" s="5">
        <v>1050.5999999999999</v>
      </c>
    </row>
    <row r="6" spans="1:9" x14ac:dyDescent="0.35">
      <c r="A6" s="7" t="s">
        <v>12</v>
      </c>
      <c r="B6" s="5">
        <v>7761</v>
      </c>
      <c r="C6" s="5">
        <v>970.125</v>
      </c>
      <c r="G6" s="7" t="s">
        <v>11</v>
      </c>
      <c r="H6" s="5">
        <v>4965</v>
      </c>
      <c r="I6" s="5">
        <v>993</v>
      </c>
    </row>
    <row r="7" spans="1:9" x14ac:dyDescent="0.35">
      <c r="A7" s="7" t="s">
        <v>5</v>
      </c>
      <c r="B7" s="5">
        <v>15071</v>
      </c>
      <c r="C7" s="5">
        <v>1883.875</v>
      </c>
      <c r="G7" s="7" t="s">
        <v>8</v>
      </c>
      <c r="H7" s="5">
        <v>6247</v>
      </c>
      <c r="I7" s="5">
        <v>1249.4000000000001</v>
      </c>
    </row>
    <row r="8" spans="1:9" x14ac:dyDescent="0.35">
      <c r="A8" s="7" t="s">
        <v>14</v>
      </c>
      <c r="B8" s="5">
        <v>4188</v>
      </c>
      <c r="C8" s="5">
        <v>523.5</v>
      </c>
      <c r="G8" s="7" t="s">
        <v>9</v>
      </c>
      <c r="H8" s="5">
        <v>2240</v>
      </c>
      <c r="I8" s="5">
        <v>448</v>
      </c>
    </row>
    <row r="9" spans="1:9" x14ac:dyDescent="0.35">
      <c r="A9" s="7" t="s">
        <v>19</v>
      </c>
      <c r="B9" s="5">
        <v>40074</v>
      </c>
      <c r="C9" s="5">
        <v>1001.85</v>
      </c>
      <c r="G9" s="7" t="s">
        <v>15</v>
      </c>
      <c r="H9" s="5">
        <v>1887</v>
      </c>
      <c r="I9" s="5">
        <v>377.4</v>
      </c>
    </row>
    <row r="10" spans="1:9" x14ac:dyDescent="0.35">
      <c r="G10" s="7" t="s">
        <v>13</v>
      </c>
      <c r="H10" s="5">
        <v>2661</v>
      </c>
      <c r="I10" s="5">
        <v>532.20000000000005</v>
      </c>
    </row>
    <row r="11" spans="1:9" x14ac:dyDescent="0.35">
      <c r="G11" s="7" t="s">
        <v>4</v>
      </c>
      <c r="H11" s="5">
        <v>2694</v>
      </c>
      <c r="I11" s="5">
        <v>538.79999999999995</v>
      </c>
    </row>
    <row r="12" spans="1:9" x14ac:dyDescent="0.35">
      <c r="G12" s="7" t="s">
        <v>19</v>
      </c>
      <c r="H12" s="5">
        <v>40074</v>
      </c>
      <c r="I12" s="5">
        <v>1001.85</v>
      </c>
    </row>
    <row r="18" spans="2:8" x14ac:dyDescent="0.35">
      <c r="B18" t="s">
        <v>25</v>
      </c>
    </row>
    <row r="19" spans="2:8" x14ac:dyDescent="0.35">
      <c r="B19" s="6" t="s">
        <v>17</v>
      </c>
      <c r="C19" s="6" t="s">
        <v>26</v>
      </c>
    </row>
    <row r="20" spans="2:8" x14ac:dyDescent="0.35">
      <c r="B20" s="6" t="s">
        <v>26</v>
      </c>
      <c r="C20" t="s">
        <v>3</v>
      </c>
      <c r="D20" t="s">
        <v>7</v>
      </c>
      <c r="E20" t="s">
        <v>12</v>
      </c>
      <c r="F20" t="s">
        <v>5</v>
      </c>
      <c r="G20" t="s">
        <v>14</v>
      </c>
      <c r="H20" t="s">
        <v>19</v>
      </c>
    </row>
    <row r="21" spans="2:8" x14ac:dyDescent="0.35">
      <c r="B21" s="7" t="s">
        <v>6</v>
      </c>
      <c r="C21" s="5">
        <v>1358</v>
      </c>
      <c r="D21" s="5">
        <v>972</v>
      </c>
      <c r="E21" s="5">
        <v>1579</v>
      </c>
      <c r="F21" s="5">
        <v>9567</v>
      </c>
      <c r="G21" s="5">
        <v>651</v>
      </c>
      <c r="H21" s="5">
        <v>14127</v>
      </c>
    </row>
    <row r="22" spans="2:8" x14ac:dyDescent="0.35">
      <c r="B22" s="7" t="s">
        <v>10</v>
      </c>
      <c r="C22" s="5">
        <v>849</v>
      </c>
      <c r="D22" s="5">
        <v>608</v>
      </c>
      <c r="E22" s="5">
        <v>1688</v>
      </c>
      <c r="F22" s="5">
        <v>1793</v>
      </c>
      <c r="G22" s="5">
        <v>315</v>
      </c>
      <c r="H22" s="5">
        <v>5253</v>
      </c>
    </row>
    <row r="23" spans="2:8" x14ac:dyDescent="0.35">
      <c r="B23" s="7" t="s">
        <v>11</v>
      </c>
      <c r="C23" s="5">
        <v>1355</v>
      </c>
      <c r="D23" s="5">
        <v>552</v>
      </c>
      <c r="E23" s="5">
        <v>1889</v>
      </c>
      <c r="F23" s="5">
        <v>618</v>
      </c>
      <c r="G23" s="5">
        <v>551</v>
      </c>
      <c r="H23" s="5">
        <v>4965</v>
      </c>
    </row>
    <row r="24" spans="2:8" x14ac:dyDescent="0.35">
      <c r="B24" s="7" t="s">
        <v>8</v>
      </c>
      <c r="C24" s="5">
        <v>3155</v>
      </c>
      <c r="D24" s="5">
        <v>542</v>
      </c>
      <c r="E24" s="5">
        <v>316</v>
      </c>
      <c r="F24" s="5">
        <v>547</v>
      </c>
      <c r="G24" s="5">
        <v>1687</v>
      </c>
      <c r="H24" s="5">
        <v>6247</v>
      </c>
    </row>
    <row r="25" spans="2:8" x14ac:dyDescent="0.35">
      <c r="B25" s="7" t="s">
        <v>9</v>
      </c>
      <c r="C25" s="5">
        <v>173</v>
      </c>
      <c r="D25" s="5">
        <v>346</v>
      </c>
      <c r="E25" s="5">
        <v>615</v>
      </c>
      <c r="F25" s="5">
        <v>948</v>
      </c>
      <c r="G25" s="5">
        <v>158</v>
      </c>
      <c r="H25" s="5">
        <v>2240</v>
      </c>
    </row>
    <row r="26" spans="2:8" x14ac:dyDescent="0.35">
      <c r="B26" s="7" t="s">
        <v>15</v>
      </c>
      <c r="C26" s="5">
        <v>135</v>
      </c>
      <c r="D26" s="5">
        <v>234</v>
      </c>
      <c r="E26" s="5">
        <v>632</v>
      </c>
      <c r="F26" s="5">
        <v>568</v>
      </c>
      <c r="G26" s="5">
        <v>318</v>
      </c>
      <c r="H26" s="5">
        <v>1887</v>
      </c>
    </row>
    <row r="27" spans="2:8" x14ac:dyDescent="0.35">
      <c r="B27" s="7" t="s">
        <v>13</v>
      </c>
      <c r="C27" s="5">
        <v>561</v>
      </c>
      <c r="D27" s="5">
        <v>972</v>
      </c>
      <c r="E27" s="5">
        <v>193</v>
      </c>
      <c r="F27" s="5">
        <v>784</v>
      </c>
      <c r="G27" s="5">
        <v>151</v>
      </c>
      <c r="H27" s="5">
        <v>2661</v>
      </c>
    </row>
    <row r="28" spans="2:8" x14ac:dyDescent="0.35">
      <c r="B28" s="7" t="s">
        <v>4</v>
      </c>
      <c r="C28" s="5">
        <v>591</v>
      </c>
      <c r="D28" s="5">
        <v>651</v>
      </c>
      <c r="E28" s="5">
        <v>849</v>
      </c>
      <c r="F28" s="5">
        <v>246</v>
      </c>
      <c r="G28" s="5">
        <v>357</v>
      </c>
      <c r="H28" s="5">
        <v>2694</v>
      </c>
    </row>
    <row r="29" spans="2:8" x14ac:dyDescent="0.35">
      <c r="B29" s="7" t="s">
        <v>19</v>
      </c>
      <c r="C29" s="5">
        <v>8177</v>
      </c>
      <c r="D29" s="5">
        <v>4877</v>
      </c>
      <c r="E29" s="5">
        <v>7761</v>
      </c>
      <c r="F29" s="5">
        <v>15071</v>
      </c>
      <c r="G29" s="5">
        <v>4188</v>
      </c>
      <c r="H29" s="5">
        <v>40074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3177-2FC6-4853-941B-4224484BC154}">
  <sheetPr>
    <tabColor theme="4" tint="0.59999389629810485"/>
  </sheetPr>
  <dimension ref="A1:L15"/>
  <sheetViews>
    <sheetView topLeftCell="C1" workbookViewId="0">
      <selection activeCell="I9" sqref="I9"/>
    </sheetView>
  </sheetViews>
  <sheetFormatPr defaultRowHeight="14.5" x14ac:dyDescent="0.35"/>
  <cols>
    <col min="2" max="2" width="12.453125" customWidth="1"/>
    <col min="3" max="3" width="10.36328125" customWidth="1"/>
    <col min="4" max="4" width="16.36328125" customWidth="1"/>
    <col min="6" max="6" width="13.36328125" customWidth="1"/>
    <col min="7" max="8" width="15.1796875" customWidth="1"/>
    <col min="9" max="9" width="33.453125" customWidth="1"/>
    <col min="10" max="10" width="17.08984375" customWidth="1"/>
    <col min="11" max="11" width="20.54296875" customWidth="1"/>
  </cols>
  <sheetData>
    <row r="1" spans="1:12" ht="15" thickBot="1" x14ac:dyDescent="0.4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68</v>
      </c>
      <c r="G1" s="8" t="s">
        <v>67</v>
      </c>
      <c r="H1" s="11" t="s">
        <v>87</v>
      </c>
      <c r="I1" s="1"/>
      <c r="J1" s="1"/>
      <c r="K1" s="1"/>
      <c r="L1" s="1"/>
    </row>
    <row r="2" spans="1:12" ht="15" thickBot="1" x14ac:dyDescent="0.4">
      <c r="A2" s="2">
        <v>1</v>
      </c>
      <c r="B2" s="2" t="s">
        <v>34</v>
      </c>
      <c r="C2" s="2">
        <v>3</v>
      </c>
      <c r="D2" s="2" t="s">
        <v>46</v>
      </c>
      <c r="E2" s="9">
        <v>0.05</v>
      </c>
      <c r="F2" s="2" t="s">
        <v>58</v>
      </c>
      <c r="G2" s="2" t="s">
        <v>71</v>
      </c>
      <c r="H2" s="12">
        <v>342</v>
      </c>
    </row>
    <row r="3" spans="1:12" ht="15" thickBot="1" x14ac:dyDescent="0.4">
      <c r="A3" s="2">
        <v>2</v>
      </c>
      <c r="B3" s="2" t="s">
        <v>47</v>
      </c>
      <c r="C3" s="2">
        <v>5</v>
      </c>
      <c r="D3" s="2" t="s">
        <v>45</v>
      </c>
      <c r="E3" s="9">
        <v>0.05</v>
      </c>
      <c r="F3" s="2" t="s">
        <v>59</v>
      </c>
      <c r="G3" s="2" t="s">
        <v>72</v>
      </c>
      <c r="H3" s="12">
        <v>266</v>
      </c>
    </row>
    <row r="4" spans="1:12" ht="15" thickBot="1" x14ac:dyDescent="0.4">
      <c r="A4" s="2">
        <v>3</v>
      </c>
      <c r="B4" s="2" t="s">
        <v>48</v>
      </c>
      <c r="C4" s="2">
        <v>2</v>
      </c>
      <c r="D4" s="2" t="s">
        <v>44</v>
      </c>
      <c r="E4" s="9">
        <v>0.05</v>
      </c>
      <c r="F4" s="2" t="s">
        <v>60</v>
      </c>
      <c r="G4" s="2" t="s">
        <v>73</v>
      </c>
      <c r="H4" s="12">
        <v>133</v>
      </c>
    </row>
    <row r="5" spans="1:12" ht="15" thickBot="1" x14ac:dyDescent="0.4">
      <c r="A5" s="2">
        <v>4</v>
      </c>
      <c r="B5" s="2" t="s">
        <v>49</v>
      </c>
      <c r="C5" s="2">
        <v>7</v>
      </c>
      <c r="D5" s="2" t="s">
        <v>43</v>
      </c>
      <c r="E5" s="9">
        <v>0.1</v>
      </c>
      <c r="F5" s="2" t="s">
        <v>61</v>
      </c>
      <c r="G5" s="2" t="s">
        <v>81</v>
      </c>
      <c r="H5" s="12">
        <v>2709</v>
      </c>
    </row>
    <row r="6" spans="1:12" ht="15" thickBot="1" x14ac:dyDescent="0.4">
      <c r="A6" s="2">
        <v>5</v>
      </c>
      <c r="B6" s="2" t="s">
        <v>50</v>
      </c>
      <c r="C6" s="2">
        <v>23</v>
      </c>
      <c r="D6" s="2" t="s">
        <v>42</v>
      </c>
      <c r="E6" s="9">
        <v>0.1</v>
      </c>
      <c r="F6" s="2" t="s">
        <v>62</v>
      </c>
      <c r="G6" s="2" t="s">
        <v>82</v>
      </c>
      <c r="H6" s="12">
        <v>4761</v>
      </c>
    </row>
    <row r="7" spans="1:12" ht="15" thickBot="1" x14ac:dyDescent="0.4">
      <c r="A7" s="2">
        <v>6</v>
      </c>
      <c r="B7" s="2" t="s">
        <v>51</v>
      </c>
      <c r="C7" s="2">
        <v>2</v>
      </c>
      <c r="D7" s="2" t="s">
        <v>41</v>
      </c>
      <c r="E7" s="9">
        <v>0</v>
      </c>
      <c r="F7" s="2" t="s">
        <v>32</v>
      </c>
      <c r="G7" s="2" t="s">
        <v>41</v>
      </c>
      <c r="H7" s="12">
        <v>20</v>
      </c>
    </row>
    <row r="8" spans="1:12" ht="15" thickBot="1" x14ac:dyDescent="0.4">
      <c r="A8" s="2">
        <v>7</v>
      </c>
      <c r="B8" s="2" t="s">
        <v>52</v>
      </c>
      <c r="C8" s="2">
        <v>8</v>
      </c>
      <c r="D8" s="2" t="s">
        <v>40</v>
      </c>
      <c r="E8" s="9">
        <v>0</v>
      </c>
      <c r="F8" s="2" t="s">
        <v>32</v>
      </c>
      <c r="G8" s="2" t="s">
        <v>40</v>
      </c>
      <c r="H8" s="12">
        <v>40</v>
      </c>
      <c r="I8" s="10" t="s">
        <v>75</v>
      </c>
      <c r="J8" s="10">
        <f>SUM(H1:H15)</f>
        <v>20348.25</v>
      </c>
    </row>
    <row r="9" spans="1:12" ht="15" thickBot="1" x14ac:dyDescent="0.4">
      <c r="A9" s="2">
        <v>8</v>
      </c>
      <c r="B9" s="2" t="s">
        <v>39</v>
      </c>
      <c r="C9" s="2">
        <v>1</v>
      </c>
      <c r="D9" s="2" t="s">
        <v>39</v>
      </c>
      <c r="E9" s="9">
        <v>0.1</v>
      </c>
      <c r="F9" s="2" t="s">
        <v>63</v>
      </c>
      <c r="G9" s="2" t="s">
        <v>85</v>
      </c>
      <c r="H9" s="12">
        <v>4536</v>
      </c>
      <c r="I9" s="10" t="s">
        <v>76</v>
      </c>
      <c r="J9" s="13">
        <v>0.19</v>
      </c>
    </row>
    <row r="10" spans="1:12" ht="15" thickBot="1" x14ac:dyDescent="0.4">
      <c r="A10" s="2">
        <v>9</v>
      </c>
      <c r="B10" s="2" t="s">
        <v>53</v>
      </c>
      <c r="C10" s="2">
        <v>3</v>
      </c>
      <c r="D10" s="2" t="s">
        <v>38</v>
      </c>
      <c r="E10" s="9">
        <v>0.1</v>
      </c>
      <c r="F10" s="2" t="s">
        <v>46</v>
      </c>
      <c r="G10" s="2" t="s">
        <v>86</v>
      </c>
      <c r="H10" s="12">
        <v>3240</v>
      </c>
      <c r="I10" s="10" t="s">
        <v>77</v>
      </c>
      <c r="J10" s="10">
        <f>J8 * J9</f>
        <v>3866.1675</v>
      </c>
    </row>
    <row r="11" spans="1:12" ht="15" thickBot="1" x14ac:dyDescent="0.4">
      <c r="A11" s="2">
        <v>10</v>
      </c>
      <c r="B11" s="2" t="s">
        <v>54</v>
      </c>
      <c r="C11" s="2">
        <v>4</v>
      </c>
      <c r="D11" s="2" t="s">
        <v>37</v>
      </c>
      <c r="E11" s="9">
        <v>0.1</v>
      </c>
      <c r="F11" s="2" t="s">
        <v>64</v>
      </c>
      <c r="G11" s="2" t="s">
        <v>83</v>
      </c>
      <c r="H11" s="12">
        <v>1728</v>
      </c>
      <c r="I11" s="10" t="s">
        <v>78</v>
      </c>
      <c r="J11" s="10">
        <f>J8+J10</f>
        <v>24214.4175</v>
      </c>
    </row>
    <row r="12" spans="1:12" ht="15" thickBot="1" x14ac:dyDescent="0.4">
      <c r="A12" s="2">
        <v>11</v>
      </c>
      <c r="B12" s="2" t="s">
        <v>55</v>
      </c>
      <c r="C12" s="2">
        <v>5</v>
      </c>
      <c r="D12" s="2" t="s">
        <v>36</v>
      </c>
      <c r="E12" s="9">
        <v>0.05</v>
      </c>
      <c r="F12" s="2" t="s">
        <v>69</v>
      </c>
      <c r="G12" s="2" t="s">
        <v>74</v>
      </c>
      <c r="H12" s="12">
        <v>156.75</v>
      </c>
    </row>
    <row r="13" spans="1:12" ht="15" thickBot="1" x14ac:dyDescent="0.4">
      <c r="A13" s="2">
        <v>12</v>
      </c>
      <c r="B13" s="2" t="s">
        <v>53</v>
      </c>
      <c r="C13" s="2">
        <v>2</v>
      </c>
      <c r="D13" s="2" t="s">
        <v>35</v>
      </c>
      <c r="E13" s="9">
        <v>0.1</v>
      </c>
      <c r="F13" s="2" t="s">
        <v>65</v>
      </c>
      <c r="G13" s="2" t="s">
        <v>84</v>
      </c>
      <c r="H13" s="12">
        <v>2160</v>
      </c>
    </row>
    <row r="14" spans="1:12" ht="15" thickBot="1" x14ac:dyDescent="0.4">
      <c r="A14" s="2">
        <v>13</v>
      </c>
      <c r="B14" s="2" t="s">
        <v>56</v>
      </c>
      <c r="C14" s="2">
        <v>10</v>
      </c>
      <c r="D14" s="2" t="s">
        <v>33</v>
      </c>
      <c r="E14" s="9">
        <v>0.05</v>
      </c>
      <c r="F14" s="2" t="s">
        <v>70</v>
      </c>
      <c r="G14" s="2" t="s">
        <v>80</v>
      </c>
      <c r="H14" s="12">
        <v>142.5</v>
      </c>
    </row>
    <row r="15" spans="1:12" ht="15" thickBot="1" x14ac:dyDescent="0.4">
      <c r="A15" s="2">
        <v>14</v>
      </c>
      <c r="B15" s="2" t="s">
        <v>57</v>
      </c>
      <c r="C15" s="2">
        <v>5</v>
      </c>
      <c r="D15" s="2" t="s">
        <v>34</v>
      </c>
      <c r="E15" s="9">
        <v>0.05</v>
      </c>
      <c r="F15" s="2" t="s">
        <v>66</v>
      </c>
      <c r="G15" s="2" t="s">
        <v>79</v>
      </c>
      <c r="H15" s="12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0E15-0E1B-477E-8F6A-AEB91A28498B}">
  <dimension ref="A1:C11"/>
  <sheetViews>
    <sheetView tabSelected="1" workbookViewId="0">
      <selection activeCell="G9" sqref="G9"/>
    </sheetView>
  </sheetViews>
  <sheetFormatPr defaultRowHeight="14.5" x14ac:dyDescent="0.35"/>
  <cols>
    <col min="1" max="1" width="11.36328125" customWidth="1"/>
    <col min="2" max="2" width="12" customWidth="1"/>
    <col min="3" max="3" width="11.7265625" customWidth="1"/>
  </cols>
  <sheetData>
    <row r="1" spans="1:3" x14ac:dyDescent="0.35">
      <c r="A1" s="14" t="s">
        <v>88</v>
      </c>
      <c r="B1" s="14" t="s">
        <v>89</v>
      </c>
      <c r="C1" s="10" t="s">
        <v>90</v>
      </c>
    </row>
    <row r="2" spans="1:3" x14ac:dyDescent="0.35">
      <c r="A2" s="1">
        <v>1</v>
      </c>
      <c r="B2" s="14">
        <v>5</v>
      </c>
      <c r="C2" s="10">
        <f>B2/A2</f>
        <v>5</v>
      </c>
    </row>
    <row r="3" spans="1:3" x14ac:dyDescent="0.35">
      <c r="A3" s="14">
        <v>2</v>
      </c>
      <c r="B3" s="14">
        <v>10</v>
      </c>
      <c r="C3" s="10">
        <f t="shared" ref="C3:C11" si="0">B3/A3</f>
        <v>5</v>
      </c>
    </row>
    <row r="4" spans="1:3" x14ac:dyDescent="0.35">
      <c r="A4" s="14">
        <v>3</v>
      </c>
      <c r="B4" s="14">
        <v>17</v>
      </c>
      <c r="C4" s="10">
        <f t="shared" si="0"/>
        <v>5.666666666666667</v>
      </c>
    </row>
    <row r="5" spans="1:3" x14ac:dyDescent="0.35">
      <c r="A5" s="14">
        <v>4</v>
      </c>
      <c r="B5" s="14">
        <v>27</v>
      </c>
      <c r="C5" s="10">
        <f t="shared" si="0"/>
        <v>6.75</v>
      </c>
    </row>
    <row r="6" spans="1:3" x14ac:dyDescent="0.35">
      <c r="A6" s="14">
        <v>5</v>
      </c>
      <c r="B6" s="14">
        <v>37</v>
      </c>
      <c r="C6" s="10">
        <f t="shared" si="0"/>
        <v>7.4</v>
      </c>
    </row>
    <row r="7" spans="1:3" x14ac:dyDescent="0.35">
      <c r="A7" s="14">
        <v>6</v>
      </c>
      <c r="B7" s="14">
        <v>49</v>
      </c>
      <c r="C7" s="10">
        <f t="shared" si="0"/>
        <v>8.1666666666666661</v>
      </c>
    </row>
    <row r="8" spans="1:3" x14ac:dyDescent="0.35">
      <c r="A8" s="14">
        <v>7</v>
      </c>
      <c r="B8" s="14">
        <v>63</v>
      </c>
      <c r="C8" s="10">
        <f t="shared" si="0"/>
        <v>9</v>
      </c>
    </row>
    <row r="9" spans="1:3" x14ac:dyDescent="0.35">
      <c r="A9" s="14">
        <v>8</v>
      </c>
      <c r="B9" s="14">
        <v>75</v>
      </c>
      <c r="C9" s="10">
        <f t="shared" si="0"/>
        <v>9.375</v>
      </c>
    </row>
    <row r="10" spans="1:3" x14ac:dyDescent="0.35">
      <c r="A10" s="14">
        <v>9</v>
      </c>
      <c r="B10" s="14">
        <v>83</v>
      </c>
      <c r="C10" s="10">
        <f t="shared" si="0"/>
        <v>9.2222222222222214</v>
      </c>
    </row>
    <row r="11" spans="1:3" x14ac:dyDescent="0.35">
      <c r="A11" s="15">
        <v>10</v>
      </c>
      <c r="B11" s="14">
        <v>91</v>
      </c>
      <c r="C11" s="10">
        <f t="shared" si="0"/>
        <v>9.1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 Khadidja Mehis</dc:creator>
  <cp:lastModifiedBy>Alae Khadidja Mehis</cp:lastModifiedBy>
  <dcterms:created xsi:type="dcterms:W3CDTF">2025-12-29T00:31:43Z</dcterms:created>
  <dcterms:modified xsi:type="dcterms:W3CDTF">2025-12-29T04:13:57Z</dcterms:modified>
</cp:coreProperties>
</file>